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End-to-end projects\7. Runway Kill-Switch Analytics\Excel Models\"/>
    </mc:Choice>
  </mc:AlternateContent>
  <xr:revisionPtr revIDLastSave="0" documentId="13_ncr:1_{0AD70960-F23C-463B-8C72-F2839432BE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enario Builder" sheetId="1" r:id="rId1"/>
    <sheet name="Runway Projection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7" i="1" s="1"/>
  <c r="B18" i="1" s="1"/>
  <c r="B15" i="1"/>
  <c r="B14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<sst xmlns="http://schemas.openxmlformats.org/spreadsheetml/2006/main" count="56" uniqueCount="52">
  <si>
    <t>RUNWAY KILL-SWITCH SCENARIO BUILDER</t>
  </si>
  <si>
    <t>Current Runway: 21.5 months | Cash Balance: $1,819,510</t>
  </si>
  <si>
    <t>Initiative</t>
  </si>
  <si>
    <t>Monthly Burn</t>
  </si>
  <si>
    <t>Monthly Revenue</t>
  </si>
  <si>
    <t>Net Burn</t>
  </si>
  <si>
    <t>Current ROI %</t>
  </si>
  <si>
    <t>Action</t>
  </si>
  <si>
    <t>Status After</t>
  </si>
  <si>
    <t>Runway Impact</t>
  </si>
  <si>
    <t>Core SaaS Platform</t>
  </si>
  <si>
    <t>KEEP</t>
  </si>
  <si>
    <t>Mobile App Expansion</t>
  </si>
  <si>
    <t>Enterprise Sales Team</t>
  </si>
  <si>
    <t>Content Marketing Program</t>
  </si>
  <si>
    <t>APAC Expansion</t>
  </si>
  <si>
    <t>AI Feature Beta</t>
  </si>
  <si>
    <t>SCENARIO SUMMARY</t>
  </si>
  <si>
    <t>Total Burn (All Initiatives):</t>
  </si>
  <si>
    <t>Total Revenue (All Initiatives):</t>
  </si>
  <si>
    <t>Net Monthly Burn:</t>
  </si>
  <si>
    <t>Projected Runway:</t>
  </si>
  <si>
    <t>Runway Extension:</t>
  </si>
  <si>
    <t>RUNWAY PROJECTION - NEXT 24 MONTHS</t>
  </si>
  <si>
    <t>Month</t>
  </si>
  <si>
    <t>Current Trajectory</t>
  </si>
  <si>
    <t>Kill Negative ROI</t>
  </si>
  <si>
    <t>Scale Core SaaS</t>
  </si>
  <si>
    <t>Optimal Scenario</t>
  </si>
  <si>
    <t>HOW TO USE THIS MODEL</t>
  </si>
  <si>
    <t>SCENARIO BUILDER SHEET:</t>
  </si>
  <si>
    <t>1. In column F, change 'KEEP' to 'KILL' or 'PAUSE' for any initiative</t>
  </si>
  <si>
    <t>2. The model automatically calculates new runway at the bottom</t>
  </si>
  <si>
    <t>3. Green number shows runway extension (or reduction if negative)</t>
  </si>
  <si>
    <t>RUNWAY PROJECTION SHEET:</t>
  </si>
  <si>
    <t>• Shows cash balance over next 24 months under 4 scenarios</t>
  </si>
  <si>
    <t>• Blue line: Current trajectory (do nothing)</t>
  </si>
  <si>
    <t>• Orange line: Kill all negative ROI initiatives</t>
  </si>
  <si>
    <t>• Gray line: Scale Core SaaS by 50%</t>
  </si>
  <si>
    <t>• Yellow line: Optimal (kill negatives + scale winner)</t>
  </si>
  <si>
    <t>KEY INSIGHTS:</t>
  </si>
  <si>
    <t>• APAC Expansion is burning $51K/month with $0 revenue → KILL IMMEDIATELY</t>
  </si>
  <si>
    <t>• Content Marketing: -77% ROI → KILL</t>
  </si>
  <si>
    <t>• Mobile App: -73% ROI → KILL</t>
  </si>
  <si>
    <t>• AI Feature: -98% ROI → KILL</t>
  </si>
  <si>
    <t>• Core SaaS: +38% ROI → SCALE</t>
  </si>
  <si>
    <t>DECISION IMPACT:</t>
  </si>
  <si>
    <t>• Killing all negative ROI initiatives extends runway by 1.4 months</t>
  </si>
  <si>
    <t>• Monthly cash savings: $119,665</t>
  </si>
  <si>
    <t>• Revenue lost: Only $14,641 (7.5% of total revenue)</t>
  </si>
  <si>
    <t>THIS IS A NO-BRAINER DECISION.</t>
  </si>
  <si>
    <t>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</si>
</sst>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&quot;-&quot;??_);_(@_)"/>
    <numFmt numFmtId="165" formatCode="0.0%"/>
    <numFmt numFmtId="166" formatCode="0.0"/>
    <numFmt numFmtId="167" formatCode="0.0\ &quot;months&quot;"/>
  </numFmts>
  <fonts count="10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2E75B6"/>
      <name val="Calibri"/>
    </font>
    <font>
      <b/>
      <sz val="11"/>
      <color rgb="FFFF0000"/>
      <name val="Calibri"/>
    </font>
    <font>
      <b/>
      <sz val="12"/>
      <color rgb="FF2E75B6"/>
      <name val="Calibri"/>
    </font>
    <font>
      <b/>
      <sz val="12"/>
      <color rgb="FF00B05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6" fontId="0" fillId="0" borderId="0" xfId="0" applyNumberFormat="1"/>
    <xf numFmtId="164" fontId="4" fillId="0" borderId="0" xfId="0" applyNumberFormat="1" applyFont="1"/>
    <xf numFmtId="164" fontId="6" fillId="0" borderId="0" xfId="0" applyNumberFormat="1" applyFont="1"/>
    <xf numFmtId="167" fontId="7" fillId="0" borderId="0" xfId="0" applyNumberFormat="1" applyFont="1"/>
    <xf numFmtId="167" fontId="8" fillId="0" borderId="0" xfId="0" applyNumberFormat="1" applyFont="1"/>
    <xf numFmtId="0" fontId="3" fillId="2" borderId="0" xfId="0" applyFont="1" applyFill="1"/>
    <xf numFmtId="0" fontId="9" fillId="0" borderId="0" xfId="0" applyFont="1"/>
    <xf numFmtId="0" fontId="5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Cash Balance Projection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'Runway Projection'!$B$3</c:f>
              <c:strCache>
                <c:ptCount val="1"/>
                <c:pt idx="0">
                  <c:v>Current Trajectory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'Runway Projection'!$A$4:$A$28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'Runway Projection'!$B$4:$B$28</c:f>
              <c:numCache>
                <c:formatCode>_(\$* #,##0.00_);_(\$* \(#,##0.00\);_(\$* "-"??_);_(@_)</c:formatCode>
                <c:ptCount val="25"/>
                <c:pt idx="0">
                  <c:v>1819510.38</c:v>
                </c:pt>
                <c:pt idx="1">
                  <c:v>1734774.34</c:v>
                </c:pt>
                <c:pt idx="2">
                  <c:v>1650038.3</c:v>
                </c:pt>
                <c:pt idx="3">
                  <c:v>1565302.26</c:v>
                </c:pt>
                <c:pt idx="4">
                  <c:v>1480566.22</c:v>
                </c:pt>
                <c:pt idx="5">
                  <c:v>1395830.18</c:v>
                </c:pt>
                <c:pt idx="6">
                  <c:v>1311094.1399999999</c:v>
                </c:pt>
                <c:pt idx="7">
                  <c:v>1226358.1000000001</c:v>
                </c:pt>
                <c:pt idx="8">
                  <c:v>1141622.06</c:v>
                </c:pt>
                <c:pt idx="9">
                  <c:v>1056886.02</c:v>
                </c:pt>
                <c:pt idx="10">
                  <c:v>972149.98</c:v>
                </c:pt>
                <c:pt idx="11">
                  <c:v>887413.94</c:v>
                </c:pt>
                <c:pt idx="12">
                  <c:v>802677.89999999991</c:v>
                </c:pt>
                <c:pt idx="13">
                  <c:v>717941.85999999987</c:v>
                </c:pt>
                <c:pt idx="14">
                  <c:v>633205.82000000007</c:v>
                </c:pt>
                <c:pt idx="15">
                  <c:v>548469.78</c:v>
                </c:pt>
                <c:pt idx="16">
                  <c:v>463733.74</c:v>
                </c:pt>
                <c:pt idx="17">
                  <c:v>378997.7</c:v>
                </c:pt>
                <c:pt idx="18">
                  <c:v>294261.65999999992</c:v>
                </c:pt>
                <c:pt idx="19">
                  <c:v>209525.62000000011</c:v>
                </c:pt>
                <c:pt idx="20">
                  <c:v>124789.5800000001</c:v>
                </c:pt>
                <c:pt idx="21">
                  <c:v>40053.540000000037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C2-451C-B23F-1AD600E3B136}"/>
            </c:ext>
          </c:extLst>
        </c:ser>
        <c:ser>
          <c:idx val="1"/>
          <c:order val="1"/>
          <c:tx>
            <c:strRef>
              <c:f>'Runway Projection'!$C$3</c:f>
              <c:strCache>
                <c:ptCount val="1"/>
                <c:pt idx="0">
                  <c:v>Kill Negative ROI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'Runway Projection'!$A$4:$A$28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'Runway Projection'!$C$4:$C$28</c:f>
              <c:numCache>
                <c:formatCode>_(\$* #,##0.00_);_(\$* \(#,##0.00\);_(\$* "-"??_);_(@_)</c:formatCode>
                <c:ptCount val="25"/>
                <c:pt idx="0">
                  <c:v>1819510.38</c:v>
                </c:pt>
                <c:pt idx="1">
                  <c:v>1854439.34</c:v>
                </c:pt>
                <c:pt idx="2">
                  <c:v>1889368.3</c:v>
                </c:pt>
                <c:pt idx="3">
                  <c:v>1924297.26</c:v>
                </c:pt>
                <c:pt idx="4">
                  <c:v>1959226.22</c:v>
                </c:pt>
                <c:pt idx="5">
                  <c:v>1994155.18</c:v>
                </c:pt>
                <c:pt idx="6">
                  <c:v>2029084.14</c:v>
                </c:pt>
                <c:pt idx="7">
                  <c:v>2064013.1</c:v>
                </c:pt>
                <c:pt idx="8">
                  <c:v>2098942.06</c:v>
                </c:pt>
                <c:pt idx="9">
                  <c:v>2133871.02</c:v>
                </c:pt>
                <c:pt idx="10">
                  <c:v>2168799.98</c:v>
                </c:pt>
                <c:pt idx="11">
                  <c:v>2203728.94</c:v>
                </c:pt>
                <c:pt idx="12">
                  <c:v>2238657.9</c:v>
                </c:pt>
                <c:pt idx="13">
                  <c:v>2273586.86</c:v>
                </c:pt>
                <c:pt idx="14">
                  <c:v>2308515.8199999998</c:v>
                </c:pt>
                <c:pt idx="15">
                  <c:v>2343444.7799999998</c:v>
                </c:pt>
                <c:pt idx="16">
                  <c:v>2378373.7400000002</c:v>
                </c:pt>
                <c:pt idx="17">
                  <c:v>2413302.7000000002</c:v>
                </c:pt>
                <c:pt idx="18">
                  <c:v>2448231.66</c:v>
                </c:pt>
                <c:pt idx="19">
                  <c:v>2483160.62</c:v>
                </c:pt>
                <c:pt idx="20">
                  <c:v>2518089.58</c:v>
                </c:pt>
                <c:pt idx="21">
                  <c:v>2553018.54</c:v>
                </c:pt>
                <c:pt idx="22">
                  <c:v>2587947.5</c:v>
                </c:pt>
                <c:pt idx="23">
                  <c:v>2622876.46</c:v>
                </c:pt>
                <c:pt idx="24">
                  <c:v>2657805.42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C2-451C-B23F-1AD600E3B136}"/>
            </c:ext>
          </c:extLst>
        </c:ser>
        <c:ser>
          <c:idx val="2"/>
          <c:order val="2"/>
          <c:tx>
            <c:strRef>
              <c:f>'Runway Projection'!$D$3</c:f>
              <c:strCache>
                <c:ptCount val="1"/>
                <c:pt idx="0">
                  <c:v>Scale Core SaaS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'Runway Projection'!$A$4:$A$28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'Runway Projection'!$D$4:$D$28</c:f>
              <c:numCache>
                <c:formatCode>_(\$* #,##0.00_);_(\$* \(#,##0.00\);_(\$* "-"??_);_(@_)</c:formatCode>
                <c:ptCount val="25"/>
                <c:pt idx="0">
                  <c:v>1819510.38</c:v>
                </c:pt>
                <c:pt idx="1">
                  <c:v>1790774.34</c:v>
                </c:pt>
                <c:pt idx="2">
                  <c:v>1762038.3</c:v>
                </c:pt>
                <c:pt idx="3">
                  <c:v>1733302.26</c:v>
                </c:pt>
                <c:pt idx="4">
                  <c:v>1704566.22</c:v>
                </c:pt>
                <c:pt idx="5">
                  <c:v>1675830.18</c:v>
                </c:pt>
                <c:pt idx="6">
                  <c:v>1647094.14</c:v>
                </c:pt>
                <c:pt idx="7">
                  <c:v>1618358.1</c:v>
                </c:pt>
                <c:pt idx="8">
                  <c:v>1589622.06</c:v>
                </c:pt>
                <c:pt idx="9">
                  <c:v>1560886.02</c:v>
                </c:pt>
                <c:pt idx="10">
                  <c:v>1532149.98</c:v>
                </c:pt>
                <c:pt idx="11">
                  <c:v>1503413.94</c:v>
                </c:pt>
                <c:pt idx="12">
                  <c:v>1474677.9</c:v>
                </c:pt>
                <c:pt idx="13">
                  <c:v>1445941.86</c:v>
                </c:pt>
                <c:pt idx="14">
                  <c:v>1417205.82</c:v>
                </c:pt>
                <c:pt idx="15">
                  <c:v>1388469.78</c:v>
                </c:pt>
                <c:pt idx="16">
                  <c:v>1359733.74</c:v>
                </c:pt>
                <c:pt idx="17">
                  <c:v>1330997.7</c:v>
                </c:pt>
                <c:pt idx="18">
                  <c:v>1302261.6599999999</c:v>
                </c:pt>
                <c:pt idx="19">
                  <c:v>1273525.6200000001</c:v>
                </c:pt>
                <c:pt idx="20">
                  <c:v>1244789.58</c:v>
                </c:pt>
                <c:pt idx="21">
                  <c:v>1216053.54</c:v>
                </c:pt>
                <c:pt idx="22">
                  <c:v>1187317.5</c:v>
                </c:pt>
                <c:pt idx="23">
                  <c:v>1158581.46</c:v>
                </c:pt>
                <c:pt idx="24">
                  <c:v>1129845.42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DC2-451C-B23F-1AD600E3B136}"/>
            </c:ext>
          </c:extLst>
        </c:ser>
        <c:ser>
          <c:idx val="3"/>
          <c:order val="3"/>
          <c:tx>
            <c:strRef>
              <c:f>'Runway Projection'!$E$3</c:f>
              <c:strCache>
                <c:ptCount val="1"/>
                <c:pt idx="0">
                  <c:v>Optimal Scenario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'Runway Projection'!$A$4:$A$28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'Runway Projection'!$E$4:$E$28</c:f>
              <c:numCache>
                <c:formatCode>_(\$* #,##0.00_);_(\$* \(#,##0.00\);_(\$* "-"??_);_(@_)</c:formatCode>
                <c:ptCount val="25"/>
                <c:pt idx="0">
                  <c:v>1819510.38</c:v>
                </c:pt>
                <c:pt idx="1">
                  <c:v>1910439.34</c:v>
                </c:pt>
                <c:pt idx="2">
                  <c:v>2001368.3</c:v>
                </c:pt>
                <c:pt idx="3">
                  <c:v>2092297.26</c:v>
                </c:pt>
                <c:pt idx="4">
                  <c:v>2183226.2200000002</c:v>
                </c:pt>
                <c:pt idx="5">
                  <c:v>2274155.1800000002</c:v>
                </c:pt>
                <c:pt idx="6">
                  <c:v>2365084.14</c:v>
                </c:pt>
                <c:pt idx="7">
                  <c:v>2456013.1</c:v>
                </c:pt>
                <c:pt idx="8">
                  <c:v>2546942.06</c:v>
                </c:pt>
                <c:pt idx="9">
                  <c:v>2637871.02</c:v>
                </c:pt>
                <c:pt idx="10">
                  <c:v>2728799.98</c:v>
                </c:pt>
                <c:pt idx="11">
                  <c:v>2819728.94</c:v>
                </c:pt>
                <c:pt idx="12">
                  <c:v>2910657.9</c:v>
                </c:pt>
                <c:pt idx="13">
                  <c:v>3001586.86</c:v>
                </c:pt>
                <c:pt idx="14">
                  <c:v>3092515.82</c:v>
                </c:pt>
                <c:pt idx="15">
                  <c:v>3183444.78</c:v>
                </c:pt>
                <c:pt idx="16">
                  <c:v>3274373.74</c:v>
                </c:pt>
                <c:pt idx="17">
                  <c:v>3365302.7</c:v>
                </c:pt>
                <c:pt idx="18">
                  <c:v>3456231.66</c:v>
                </c:pt>
                <c:pt idx="19">
                  <c:v>3547160.62</c:v>
                </c:pt>
                <c:pt idx="20">
                  <c:v>3638089.58</c:v>
                </c:pt>
                <c:pt idx="21">
                  <c:v>3729018.54</c:v>
                </c:pt>
                <c:pt idx="22">
                  <c:v>3819947.5</c:v>
                </c:pt>
                <c:pt idx="23">
                  <c:v>3910876.46</c:v>
                </c:pt>
                <c:pt idx="24">
                  <c:v>4001805.42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DC2-451C-B23F-1AD600E3B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Months from Now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Cash Balance ($)</a:t>
                </a:r>
              </a:p>
            </c:rich>
          </c:tx>
          <c:overlay val="1"/>
        </c:title>
        <c:numFmt formatCode="_(\$* #,##0.00_);_(\$* \(#,##0.00\);_(\$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F11" sqref="F11"/>
    </sheetView>
  </sheetViews>
  <sheetFormatPr defaultRowHeight="15" x14ac:dyDescent="0.25"/>
  <cols>
    <col min="1" max="1" width="30" customWidth="1"/>
    <col min="2" max="4" width="15" customWidth="1"/>
    <col min="5" max="6" width="12" customWidth="1"/>
    <col min="7" max="8" width="15" customWidth="1"/>
  </cols>
  <sheetData>
    <row r="1" spans="1:8" ht="21" x14ac:dyDescent="0.35">
      <c r="A1" s="15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14" t="s">
        <v>1</v>
      </c>
      <c r="B2" s="13"/>
      <c r="C2" s="13"/>
      <c r="D2" s="13"/>
      <c r="E2" s="13"/>
      <c r="F2" s="13"/>
      <c r="G2" s="13"/>
      <c r="H2" s="13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t="s">
        <v>10</v>
      </c>
      <c r="B5" s="2">
        <v>103293.49</v>
      </c>
      <c r="C5" s="2">
        <v>92832.42</v>
      </c>
      <c r="D5" s="2">
        <v>10461.070000000011</v>
      </c>
      <c r="E5" s="3">
        <v>-0.10127521105153869</v>
      </c>
      <c r="F5" s="4" t="s">
        <v>11</v>
      </c>
      <c r="G5" t="str">
        <f t="shared" ref="G5:G10" si="0">IF(F5="KILL","ELIMINATED",IF(F5="PAUSE","PAUSED","ACTIVE"))</f>
        <v>ACTIVE</v>
      </c>
      <c r="H5" s="5">
        <v>2.9969520687790272</v>
      </c>
    </row>
    <row r="6" spans="1:8" x14ac:dyDescent="0.25">
      <c r="A6" t="s">
        <v>12</v>
      </c>
      <c r="B6" s="2">
        <v>37530.22</v>
      </c>
      <c r="C6" s="2">
        <v>5135.1000000000004</v>
      </c>
      <c r="D6" s="2">
        <v>32395.119999999999</v>
      </c>
      <c r="E6" s="3">
        <v>-0.8631742633003483</v>
      </c>
      <c r="F6" s="4" t="s">
        <v>51</v>
      </c>
      <c r="G6" t="str">
        <f t="shared" si="0"/>
        <v>ELIMINATED</v>
      </c>
      <c r="H6" s="5">
        <v>13.2626747867634</v>
      </c>
    </row>
    <row r="7" spans="1:8" x14ac:dyDescent="0.25">
      <c r="A7" t="s">
        <v>13</v>
      </c>
      <c r="B7" s="2">
        <v>42948.09</v>
      </c>
      <c r="C7" s="2">
        <v>13984.04</v>
      </c>
      <c r="D7" s="2">
        <v>28964.05</v>
      </c>
      <c r="E7" s="3">
        <v>-0.6743966961045299</v>
      </c>
      <c r="F7" s="4" t="s">
        <v>51</v>
      </c>
      <c r="G7" t="str">
        <f t="shared" si="0"/>
        <v>ELIMINATED</v>
      </c>
      <c r="H7" s="5">
        <v>11.124089260576859</v>
      </c>
    </row>
    <row r="8" spans="1:8" x14ac:dyDescent="0.25">
      <c r="A8" t="s">
        <v>14</v>
      </c>
      <c r="B8" s="2">
        <v>14546.36</v>
      </c>
      <c r="C8" s="2">
        <v>2204.9499999999998</v>
      </c>
      <c r="D8" s="2">
        <v>12341.41</v>
      </c>
      <c r="E8" s="3">
        <v>-0.84841912340956771</v>
      </c>
      <c r="F8" s="4" t="s">
        <v>51</v>
      </c>
      <c r="G8" t="str">
        <f t="shared" si="0"/>
        <v>ELIMINATED</v>
      </c>
      <c r="H8" s="5">
        <v>3.633223002866373</v>
      </c>
    </row>
    <row r="9" spans="1:8" x14ac:dyDescent="0.25">
      <c r="A9" t="s">
        <v>15</v>
      </c>
      <c r="B9" s="2">
        <v>40816.58</v>
      </c>
      <c r="C9" s="2">
        <v>0</v>
      </c>
      <c r="D9" s="2">
        <v>40816.58</v>
      </c>
      <c r="E9" s="3">
        <v>-1</v>
      </c>
      <c r="F9" s="4" t="s">
        <v>51</v>
      </c>
      <c r="G9" t="str">
        <f t="shared" si="0"/>
        <v>ELIMINATED</v>
      </c>
      <c r="H9" s="5">
        <v>19.92834133206556</v>
      </c>
    </row>
    <row r="10" spans="1:8" x14ac:dyDescent="0.25">
      <c r="A10" t="s">
        <v>16</v>
      </c>
      <c r="B10" s="2">
        <v>22997.31</v>
      </c>
      <c r="C10" s="2">
        <v>431.35</v>
      </c>
      <c r="D10" s="2">
        <v>22565.96</v>
      </c>
      <c r="E10" s="3">
        <v>-0.98124345847405636</v>
      </c>
      <c r="F10" s="4" t="s">
        <v>51</v>
      </c>
      <c r="G10" t="str">
        <f t="shared" si="0"/>
        <v>ELIMINATED</v>
      </c>
      <c r="H10" s="5">
        <v>7.7666565653446176</v>
      </c>
    </row>
    <row r="13" spans="1:8" ht="18.75" x14ac:dyDescent="0.3">
      <c r="A13" s="12" t="s">
        <v>17</v>
      </c>
      <c r="B13" s="13"/>
      <c r="C13" s="13"/>
      <c r="D13" s="13"/>
      <c r="E13" s="13"/>
      <c r="F13" s="13"/>
      <c r="G13" s="13"/>
      <c r="H13" s="13"/>
    </row>
    <row r="14" spans="1:8" x14ac:dyDescent="0.25">
      <c r="A14" t="s">
        <v>18</v>
      </c>
      <c r="B14" s="6">
        <f>SUM(B5:B11)</f>
        <v>262132.05000000005</v>
      </c>
    </row>
    <row r="15" spans="1:8" x14ac:dyDescent="0.25">
      <c r="A15" t="s">
        <v>19</v>
      </c>
      <c r="B15" s="6">
        <f>SUM(C5:C11)</f>
        <v>114587.86</v>
      </c>
    </row>
    <row r="16" spans="1:8" x14ac:dyDescent="0.25">
      <c r="A16" t="s">
        <v>20</v>
      </c>
      <c r="B16" s="7">
        <f>SUM(D5:D11)</f>
        <v>147544.19</v>
      </c>
    </row>
    <row r="17" spans="1:2" ht="15.75" x14ac:dyDescent="0.25">
      <c r="A17" t="s">
        <v>21</v>
      </c>
      <c r="B17" s="8">
        <f>1819510.38/B16</f>
        <v>12.331969018908843</v>
      </c>
    </row>
    <row r="18" spans="1:2" ht="15.75" x14ac:dyDescent="0.25">
      <c r="A18" t="s">
        <v>22</v>
      </c>
      <c r="B18" s="9">
        <f>B17-21.5</f>
        <v>-9.1680309810911567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/>
  </sheetViews>
  <sheetFormatPr defaultRowHeight="15" x14ac:dyDescent="0.25"/>
  <cols>
    <col min="1" max="5" width="18" customWidth="1"/>
  </cols>
  <sheetData>
    <row r="1" spans="1:5" ht="18.75" x14ac:dyDescent="0.3">
      <c r="A1" s="12" t="s">
        <v>23</v>
      </c>
      <c r="B1" s="13"/>
      <c r="C1" s="13"/>
      <c r="D1" s="13"/>
      <c r="E1" s="13"/>
    </row>
    <row r="3" spans="1:5" x14ac:dyDescent="0.25">
      <c r="A3" s="10" t="s">
        <v>24</v>
      </c>
      <c r="B3" s="10" t="s">
        <v>25</v>
      </c>
      <c r="C3" s="10" t="s">
        <v>26</v>
      </c>
      <c r="D3" s="10" t="s">
        <v>27</v>
      </c>
      <c r="E3" s="10" t="s">
        <v>28</v>
      </c>
    </row>
    <row r="4" spans="1:5" x14ac:dyDescent="0.25">
      <c r="A4">
        <v>0</v>
      </c>
      <c r="B4" s="2">
        <v>1819510.38</v>
      </c>
      <c r="C4" s="2">
        <v>1819510.38</v>
      </c>
      <c r="D4" s="2">
        <v>1819510.38</v>
      </c>
      <c r="E4" s="2">
        <v>1819510.38</v>
      </c>
    </row>
    <row r="5" spans="1:5" x14ac:dyDescent="0.25">
      <c r="A5">
        <v>1</v>
      </c>
      <c r="B5" s="2">
        <v>1734774.34</v>
      </c>
      <c r="C5" s="2">
        <v>1854439.34</v>
      </c>
      <c r="D5" s="2">
        <v>1790774.34</v>
      </c>
      <c r="E5" s="2">
        <v>1910439.34</v>
      </c>
    </row>
    <row r="6" spans="1:5" x14ac:dyDescent="0.25">
      <c r="A6">
        <v>2</v>
      </c>
      <c r="B6" s="2">
        <v>1650038.3</v>
      </c>
      <c r="C6" s="2">
        <v>1889368.3</v>
      </c>
      <c r="D6" s="2">
        <v>1762038.3</v>
      </c>
      <c r="E6" s="2">
        <v>2001368.3</v>
      </c>
    </row>
    <row r="7" spans="1:5" x14ac:dyDescent="0.25">
      <c r="A7">
        <v>3</v>
      </c>
      <c r="B7" s="2">
        <v>1565302.26</v>
      </c>
      <c r="C7" s="2">
        <v>1924297.26</v>
      </c>
      <c r="D7" s="2">
        <v>1733302.26</v>
      </c>
      <c r="E7" s="2">
        <v>2092297.26</v>
      </c>
    </row>
    <row r="8" spans="1:5" x14ac:dyDescent="0.25">
      <c r="A8">
        <v>4</v>
      </c>
      <c r="B8" s="2">
        <v>1480566.22</v>
      </c>
      <c r="C8" s="2">
        <v>1959226.22</v>
      </c>
      <c r="D8" s="2">
        <v>1704566.22</v>
      </c>
      <c r="E8" s="2">
        <v>2183226.2200000002</v>
      </c>
    </row>
    <row r="9" spans="1:5" x14ac:dyDescent="0.25">
      <c r="A9">
        <v>5</v>
      </c>
      <c r="B9" s="2">
        <v>1395830.18</v>
      </c>
      <c r="C9" s="2">
        <v>1994155.18</v>
      </c>
      <c r="D9" s="2">
        <v>1675830.18</v>
      </c>
      <c r="E9" s="2">
        <v>2274155.1800000002</v>
      </c>
    </row>
    <row r="10" spans="1:5" x14ac:dyDescent="0.25">
      <c r="A10">
        <v>6</v>
      </c>
      <c r="B10" s="2">
        <v>1311094.1399999999</v>
      </c>
      <c r="C10" s="2">
        <v>2029084.14</v>
      </c>
      <c r="D10" s="2">
        <v>1647094.14</v>
      </c>
      <c r="E10" s="2">
        <v>2365084.14</v>
      </c>
    </row>
    <row r="11" spans="1:5" x14ac:dyDescent="0.25">
      <c r="A11">
        <v>7</v>
      </c>
      <c r="B11" s="2">
        <v>1226358.1000000001</v>
      </c>
      <c r="C11" s="2">
        <v>2064013.1</v>
      </c>
      <c r="D11" s="2">
        <v>1618358.1</v>
      </c>
      <c r="E11" s="2">
        <v>2456013.1</v>
      </c>
    </row>
    <row r="12" spans="1:5" x14ac:dyDescent="0.25">
      <c r="A12">
        <v>8</v>
      </c>
      <c r="B12" s="2">
        <v>1141622.06</v>
      </c>
      <c r="C12" s="2">
        <v>2098942.06</v>
      </c>
      <c r="D12" s="2">
        <v>1589622.06</v>
      </c>
      <c r="E12" s="2">
        <v>2546942.06</v>
      </c>
    </row>
    <row r="13" spans="1:5" x14ac:dyDescent="0.25">
      <c r="A13">
        <v>9</v>
      </c>
      <c r="B13" s="2">
        <v>1056886.02</v>
      </c>
      <c r="C13" s="2">
        <v>2133871.02</v>
      </c>
      <c r="D13" s="2">
        <v>1560886.02</v>
      </c>
      <c r="E13" s="2">
        <v>2637871.02</v>
      </c>
    </row>
    <row r="14" spans="1:5" x14ac:dyDescent="0.25">
      <c r="A14">
        <v>10</v>
      </c>
      <c r="B14" s="2">
        <v>972149.98</v>
      </c>
      <c r="C14" s="2">
        <v>2168799.98</v>
      </c>
      <c r="D14" s="2">
        <v>1532149.98</v>
      </c>
      <c r="E14" s="2">
        <v>2728799.98</v>
      </c>
    </row>
    <row r="15" spans="1:5" x14ac:dyDescent="0.25">
      <c r="A15">
        <v>11</v>
      </c>
      <c r="B15" s="2">
        <v>887413.94</v>
      </c>
      <c r="C15" s="2">
        <v>2203728.94</v>
      </c>
      <c r="D15" s="2">
        <v>1503413.94</v>
      </c>
      <c r="E15" s="2">
        <v>2819728.94</v>
      </c>
    </row>
    <row r="16" spans="1:5" x14ac:dyDescent="0.25">
      <c r="A16">
        <v>12</v>
      </c>
      <c r="B16" s="2">
        <v>802677.89999999991</v>
      </c>
      <c r="C16" s="2">
        <v>2238657.9</v>
      </c>
      <c r="D16" s="2">
        <v>1474677.9</v>
      </c>
      <c r="E16" s="2">
        <v>2910657.9</v>
      </c>
    </row>
    <row r="17" spans="1:5" x14ac:dyDescent="0.25">
      <c r="A17">
        <v>13</v>
      </c>
      <c r="B17" s="2">
        <v>717941.85999999987</v>
      </c>
      <c r="C17" s="2">
        <v>2273586.86</v>
      </c>
      <c r="D17" s="2">
        <v>1445941.86</v>
      </c>
      <c r="E17" s="2">
        <v>3001586.86</v>
      </c>
    </row>
    <row r="18" spans="1:5" x14ac:dyDescent="0.25">
      <c r="A18">
        <v>14</v>
      </c>
      <c r="B18" s="2">
        <v>633205.82000000007</v>
      </c>
      <c r="C18" s="2">
        <v>2308515.8199999998</v>
      </c>
      <c r="D18" s="2">
        <v>1417205.82</v>
      </c>
      <c r="E18" s="2">
        <v>3092515.82</v>
      </c>
    </row>
    <row r="19" spans="1:5" x14ac:dyDescent="0.25">
      <c r="A19">
        <v>15</v>
      </c>
      <c r="B19" s="2">
        <v>548469.78</v>
      </c>
      <c r="C19" s="2">
        <v>2343444.7799999998</v>
      </c>
      <c r="D19" s="2">
        <v>1388469.78</v>
      </c>
      <c r="E19" s="2">
        <v>3183444.78</v>
      </c>
    </row>
    <row r="20" spans="1:5" x14ac:dyDescent="0.25">
      <c r="A20">
        <v>16</v>
      </c>
      <c r="B20" s="2">
        <v>463733.74</v>
      </c>
      <c r="C20" s="2">
        <v>2378373.7400000002</v>
      </c>
      <c r="D20" s="2">
        <v>1359733.74</v>
      </c>
      <c r="E20" s="2">
        <v>3274373.74</v>
      </c>
    </row>
    <row r="21" spans="1:5" x14ac:dyDescent="0.25">
      <c r="A21">
        <v>17</v>
      </c>
      <c r="B21" s="2">
        <v>378997.7</v>
      </c>
      <c r="C21" s="2">
        <v>2413302.7000000002</v>
      </c>
      <c r="D21" s="2">
        <v>1330997.7</v>
      </c>
      <c r="E21" s="2">
        <v>3365302.7</v>
      </c>
    </row>
    <row r="22" spans="1:5" x14ac:dyDescent="0.25">
      <c r="A22">
        <v>18</v>
      </c>
      <c r="B22" s="2">
        <v>294261.65999999992</v>
      </c>
      <c r="C22" s="2">
        <v>2448231.66</v>
      </c>
      <c r="D22" s="2">
        <v>1302261.6599999999</v>
      </c>
      <c r="E22" s="2">
        <v>3456231.66</v>
      </c>
    </row>
    <row r="23" spans="1:5" x14ac:dyDescent="0.25">
      <c r="A23">
        <v>19</v>
      </c>
      <c r="B23" s="2">
        <v>209525.62000000011</v>
      </c>
      <c r="C23" s="2">
        <v>2483160.62</v>
      </c>
      <c r="D23" s="2">
        <v>1273525.6200000001</v>
      </c>
      <c r="E23" s="2">
        <v>3547160.62</v>
      </c>
    </row>
    <row r="24" spans="1:5" x14ac:dyDescent="0.25">
      <c r="A24">
        <v>20</v>
      </c>
      <c r="B24" s="2">
        <v>124789.5800000001</v>
      </c>
      <c r="C24" s="2">
        <v>2518089.58</v>
      </c>
      <c r="D24" s="2">
        <v>1244789.58</v>
      </c>
      <c r="E24" s="2">
        <v>3638089.58</v>
      </c>
    </row>
    <row r="25" spans="1:5" x14ac:dyDescent="0.25">
      <c r="A25">
        <v>21</v>
      </c>
      <c r="B25" s="2">
        <v>40053.540000000037</v>
      </c>
      <c r="C25" s="2">
        <v>2553018.54</v>
      </c>
      <c r="D25" s="2">
        <v>1216053.54</v>
      </c>
      <c r="E25" s="2">
        <v>3729018.54</v>
      </c>
    </row>
    <row r="26" spans="1:5" x14ac:dyDescent="0.25">
      <c r="A26">
        <v>22</v>
      </c>
      <c r="B26" s="2">
        <v>0</v>
      </c>
      <c r="C26" s="2">
        <v>2587947.5</v>
      </c>
      <c r="D26" s="2">
        <v>1187317.5</v>
      </c>
      <c r="E26" s="2">
        <v>3819947.5</v>
      </c>
    </row>
    <row r="27" spans="1:5" x14ac:dyDescent="0.25">
      <c r="A27">
        <v>23</v>
      </c>
      <c r="B27" s="2">
        <v>0</v>
      </c>
      <c r="C27" s="2">
        <v>2622876.46</v>
      </c>
      <c r="D27" s="2">
        <v>1158581.46</v>
      </c>
      <c r="E27" s="2">
        <v>3910876.46</v>
      </c>
    </row>
    <row r="28" spans="1:5" x14ac:dyDescent="0.25">
      <c r="A28">
        <v>24</v>
      </c>
      <c r="B28" s="2">
        <v>0</v>
      </c>
      <c r="C28" s="2">
        <v>2657805.42</v>
      </c>
      <c r="D28" s="2">
        <v>1129845.42</v>
      </c>
      <c r="E28" s="2">
        <v>4001805.42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5" x14ac:dyDescent="0.25"/>
  <cols>
    <col min="1" max="1" width="100" customWidth="1"/>
  </cols>
  <sheetData>
    <row r="1" spans="1:4" ht="18.75" x14ac:dyDescent="0.3">
      <c r="A1" s="12" t="s">
        <v>29</v>
      </c>
      <c r="B1" s="13"/>
      <c r="C1" s="13"/>
      <c r="D1" s="13"/>
    </row>
    <row r="4" spans="1:4" x14ac:dyDescent="0.25">
      <c r="A4" t="s">
        <v>30</v>
      </c>
    </row>
    <row r="5" spans="1:4" x14ac:dyDescent="0.25">
      <c r="A5" t="s">
        <v>31</v>
      </c>
    </row>
    <row r="6" spans="1:4" x14ac:dyDescent="0.25">
      <c r="A6" t="s">
        <v>32</v>
      </c>
    </row>
    <row r="7" spans="1:4" x14ac:dyDescent="0.25">
      <c r="A7" t="s">
        <v>33</v>
      </c>
    </row>
    <row r="9" spans="1:4" x14ac:dyDescent="0.25">
      <c r="A9" t="s">
        <v>34</v>
      </c>
    </row>
    <row r="10" spans="1:4" x14ac:dyDescent="0.25">
      <c r="A10" s="11" t="s">
        <v>35</v>
      </c>
    </row>
    <row r="11" spans="1:4" x14ac:dyDescent="0.25">
      <c r="A11" s="11" t="s">
        <v>36</v>
      </c>
    </row>
    <row r="12" spans="1:4" x14ac:dyDescent="0.25">
      <c r="A12" s="11" t="s">
        <v>37</v>
      </c>
    </row>
    <row r="13" spans="1:4" x14ac:dyDescent="0.25">
      <c r="A13" s="11" t="s">
        <v>38</v>
      </c>
    </row>
    <row r="14" spans="1:4" x14ac:dyDescent="0.25">
      <c r="A14" s="11" t="s">
        <v>39</v>
      </c>
    </row>
    <row r="16" spans="1:4" x14ac:dyDescent="0.25">
      <c r="A16" t="s">
        <v>40</v>
      </c>
    </row>
    <row r="17" spans="1:1" x14ac:dyDescent="0.25">
      <c r="A17" s="11" t="s">
        <v>41</v>
      </c>
    </row>
    <row r="18" spans="1:1" x14ac:dyDescent="0.25">
      <c r="A18" s="11" t="s">
        <v>42</v>
      </c>
    </row>
    <row r="19" spans="1:1" x14ac:dyDescent="0.25">
      <c r="A19" s="11" t="s">
        <v>43</v>
      </c>
    </row>
    <row r="20" spans="1:1" x14ac:dyDescent="0.25">
      <c r="A20" s="11" t="s">
        <v>44</v>
      </c>
    </row>
    <row r="21" spans="1:1" x14ac:dyDescent="0.25">
      <c r="A21" s="11" t="s">
        <v>45</v>
      </c>
    </row>
    <row r="23" spans="1:1" x14ac:dyDescent="0.25">
      <c r="A23" s="11" t="s">
        <v>46</v>
      </c>
    </row>
    <row r="24" spans="1:1" x14ac:dyDescent="0.25">
      <c r="A24" s="11" t="s">
        <v>47</v>
      </c>
    </row>
    <row r="25" spans="1:1" x14ac:dyDescent="0.25">
      <c r="A25" s="11" t="s">
        <v>48</v>
      </c>
    </row>
    <row r="26" spans="1:1" x14ac:dyDescent="0.25">
      <c r="A26" s="11" t="s">
        <v>49</v>
      </c>
    </row>
    <row r="28" spans="1:1" x14ac:dyDescent="0.25">
      <c r="A28" s="11" t="s">
        <v>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Builder</vt:lpstr>
      <vt:lpstr>Runway Projection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Mohsin Raza</cp:lastModifiedBy>
  <dcterms:created xsi:type="dcterms:W3CDTF">2026-02-24T05:16:40Z</dcterms:created>
  <dcterms:modified xsi:type="dcterms:W3CDTF">2026-02-24T05:37:03Z</dcterms:modified>
</cp:coreProperties>
</file>